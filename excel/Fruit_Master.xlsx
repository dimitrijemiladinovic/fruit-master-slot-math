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xmlns:r="http://schemas.openxmlformats.org/officeDocument/2006/relationships" name="ReelStrips" sheetId="1" state="visible" r:id="rId1"/>
    <sheet xmlns:r="http://schemas.openxmlformats.org/officeDocument/2006/relationships" name="Combinations" sheetId="2" state="visible" r:id="rId2"/>
    <sheet xmlns:r="http://schemas.openxmlformats.org/officeDocument/2006/relationships" name="Paytable" sheetId="3" state="visible" r:id="rId3"/>
    <sheet xmlns:r="http://schemas.openxmlformats.org/officeDocument/2006/relationships" name="Summary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G14" sqref="G14"/>
    </sheetView>
  </sheetViews>
  <sheetFormatPr baseColWidth="8" defaultRowHeight="14.4"/>
  <sheetData>
    <row r="1">
      <c r="A1" t="inlineStr">
        <is>
          <t>Reel1</t>
        </is>
      </c>
      <c r="B1" t="inlineStr">
        <is>
          <t>Reel2</t>
        </is>
      </c>
      <c r="C1" t="inlineStr">
        <is>
          <t>Reel3</t>
        </is>
      </c>
      <c r="E1" t="inlineStr">
        <is>
          <t>Simbol</t>
        </is>
      </c>
      <c r="F1" t="inlineStr">
        <is>
          <t>R1</t>
        </is>
      </c>
      <c r="G1" t="inlineStr">
        <is>
          <t>R2</t>
        </is>
      </c>
      <c r="H1" t="inlineStr">
        <is>
          <t>R3</t>
        </is>
      </c>
    </row>
    <row r="2">
      <c r="A2" t="inlineStr">
        <is>
          <t>C</t>
        </is>
      </c>
      <c r="B2" t="inlineStr">
        <is>
          <t>C</t>
        </is>
      </c>
      <c r="C2" t="inlineStr">
        <is>
          <t>C</t>
        </is>
      </c>
      <c r="E2" t="inlineStr">
        <is>
          <t>C</t>
        </is>
      </c>
      <c r="F2">
        <f>COUNTIF(A:A,"C")</f>
        <v/>
      </c>
      <c r="G2">
        <f>COUNTIF(B:B,"C")</f>
        <v/>
      </c>
      <c r="H2">
        <f>COUNTIF(C:C,"C")</f>
        <v/>
      </c>
    </row>
    <row r="3">
      <c r="A3" t="inlineStr">
        <is>
          <t>C</t>
        </is>
      </c>
      <c r="B3" t="inlineStr">
        <is>
          <t>C</t>
        </is>
      </c>
      <c r="C3" t="inlineStr">
        <is>
          <t>C</t>
        </is>
      </c>
      <c r="E3" t="inlineStr">
        <is>
          <t>L</t>
        </is>
      </c>
      <c r="F3">
        <f>COUNTIF(A:A,"L")</f>
        <v/>
      </c>
      <c r="G3">
        <f>COUNTIF(B:B,"L")</f>
        <v/>
      </c>
      <c r="H3">
        <f>COUNTIF(C:C,"L")</f>
        <v/>
      </c>
    </row>
    <row r="4">
      <c r="A4" t="inlineStr">
        <is>
          <t>C</t>
        </is>
      </c>
      <c r="B4" t="inlineStr">
        <is>
          <t>C</t>
        </is>
      </c>
      <c r="C4" t="inlineStr">
        <is>
          <t>L</t>
        </is>
      </c>
      <c r="E4" t="inlineStr">
        <is>
          <t>O</t>
        </is>
      </c>
      <c r="F4">
        <f>COUNTIF(A:A,"O")</f>
        <v/>
      </c>
      <c r="G4">
        <f>COUNTIF(B:B,"O")</f>
        <v/>
      </c>
      <c r="H4">
        <f>COUNTIF(C:C,"O")</f>
        <v/>
      </c>
    </row>
    <row r="5">
      <c r="A5" t="inlineStr">
        <is>
          <t>C</t>
        </is>
      </c>
      <c r="B5" t="inlineStr">
        <is>
          <t>L</t>
        </is>
      </c>
      <c r="C5" t="inlineStr">
        <is>
          <t>L</t>
        </is>
      </c>
      <c r="E5" t="inlineStr">
        <is>
          <t>B</t>
        </is>
      </c>
      <c r="F5">
        <f>COUNTIF(A:A,"B")</f>
        <v/>
      </c>
      <c r="G5">
        <f>COUNTIF(B:B,"B")</f>
        <v/>
      </c>
      <c r="H5">
        <f>COUNTIF(C:C,"B")</f>
        <v/>
      </c>
    </row>
    <row r="6">
      <c r="A6" t="inlineStr">
        <is>
          <t>L</t>
        </is>
      </c>
      <c r="B6" t="inlineStr">
        <is>
          <t>L</t>
        </is>
      </c>
      <c r="C6" t="inlineStr">
        <is>
          <t>L</t>
        </is>
      </c>
      <c r="E6" t="inlineStr">
        <is>
          <t>W</t>
        </is>
      </c>
      <c r="F6">
        <f>COUNTIF(A:A,"W")</f>
        <v/>
      </c>
      <c r="G6">
        <f>COUNTIF(B:B,"W")</f>
        <v/>
      </c>
      <c r="H6">
        <f>COUNTIF(C:C,"W")</f>
        <v/>
      </c>
    </row>
    <row r="7">
      <c r="A7" t="inlineStr">
        <is>
          <t>L</t>
        </is>
      </c>
      <c r="B7" t="inlineStr">
        <is>
          <t>L</t>
        </is>
      </c>
      <c r="C7" t="inlineStr">
        <is>
          <t>O</t>
        </is>
      </c>
      <c r="E7" t="inlineStr">
        <is>
          <t>-</t>
        </is>
      </c>
      <c r="F7">
        <f>COUNTIF(A:A,"-")</f>
        <v/>
      </c>
      <c r="G7">
        <f>COUNTIF(B:B,"-")</f>
        <v/>
      </c>
      <c r="H7">
        <f>COUNTIF(C:C,"-")</f>
        <v/>
      </c>
    </row>
    <row r="8">
      <c r="A8" t="inlineStr">
        <is>
          <t>L</t>
        </is>
      </c>
      <c r="B8" t="inlineStr">
        <is>
          <t>O</t>
        </is>
      </c>
      <c r="C8" t="inlineStr">
        <is>
          <t>O</t>
        </is>
      </c>
      <c r="E8" t="inlineStr">
        <is>
          <t>Zbir</t>
        </is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O</t>
        </is>
      </c>
      <c r="B9" t="inlineStr">
        <is>
          <t>O</t>
        </is>
      </c>
      <c r="C9" t="inlineStr">
        <is>
          <t>O</t>
        </is>
      </c>
    </row>
    <row r="10">
      <c r="A10" t="inlineStr">
        <is>
          <t>O</t>
        </is>
      </c>
      <c r="B10" t="inlineStr">
        <is>
          <t>O</t>
        </is>
      </c>
      <c r="C10" t="inlineStr">
        <is>
          <t>B</t>
        </is>
      </c>
    </row>
    <row r="11">
      <c r="A11" t="inlineStr">
        <is>
          <t>B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C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C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L</t>
        </is>
      </c>
      <c r="B14" t="inlineStr">
        <is>
          <t>L</t>
        </is>
      </c>
      <c r="C14" t="inlineStr">
        <is>
          <t>O</t>
        </is>
      </c>
    </row>
    <row r="15">
      <c r="A15" t="inlineStr">
        <is>
          <t>L</t>
        </is>
      </c>
      <c r="B15" t="inlineStr">
        <is>
          <t>O</t>
        </is>
      </c>
      <c r="C15" t="inlineStr">
        <is>
          <t>O</t>
        </is>
      </c>
    </row>
    <row r="16">
      <c r="A16" t="inlineStr">
        <is>
          <t>O</t>
        </is>
      </c>
      <c r="B16" t="inlineStr">
        <is>
          <t>O</t>
        </is>
      </c>
      <c r="C16" t="inlineStr">
        <is>
          <t>B</t>
        </is>
      </c>
    </row>
    <row r="17">
      <c r="A17" t="inlineStr">
        <is>
          <t>O</t>
        </is>
      </c>
      <c r="B17" t="inlineStr">
        <is>
          <t>B</t>
        </is>
      </c>
      <c r="C17" t="inlineStr">
        <is>
          <t>W</t>
        </is>
      </c>
    </row>
    <row r="18">
      <c r="A18" t="inlineStr">
        <is>
          <t>B</t>
        </is>
      </c>
      <c r="B18" t="inlineStr">
        <is>
          <t>W</t>
        </is>
      </c>
      <c r="C18" t="inlineStr">
        <is>
          <t>-</t>
        </is>
      </c>
    </row>
    <row r="19">
      <c r="A19" t="inlineStr">
        <is>
          <t>W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-</t>
        </is>
      </c>
      <c r="B21" t="inlineStr">
        <is>
          <t>-</t>
        </is>
      </c>
      <c r="C21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6" sqref="A6"/>
    </sheetView>
  </sheetViews>
  <sheetFormatPr baseColWidth="8" defaultRowHeight="14.4"/>
  <cols>
    <col width="15.109375" customWidth="1" min="1" max="1"/>
    <col width="16.6640625" customWidth="1" min="2" max="2"/>
    <col width="17.33203125" customWidth="1" min="3" max="3"/>
    <col width="15.77734375" customWidth="1" min="4" max="4"/>
    <col width="16" customWidth="1" min="5" max="5"/>
  </cols>
  <sheetData>
    <row r="1">
      <c r="A1" t="inlineStr">
        <is>
          <t>Combinations</t>
        </is>
      </c>
      <c r="B1" t="inlineStr">
        <is>
          <t>Ways</t>
        </is>
      </c>
      <c r="C1" t="inlineStr">
        <is>
          <t>Probability</t>
        </is>
      </c>
      <c r="D1" t="inlineStr">
        <is>
          <t>Payout</t>
        </is>
      </c>
      <c r="E1" t="inlineStr">
        <is>
          <t>Contribution</t>
        </is>
      </c>
    </row>
    <row r="2">
      <c r="A2" t="inlineStr">
        <is>
          <t>WWW</t>
        </is>
      </c>
      <c r="B2">
        <f>ReelStrips!$F6 * ReelStrips!$G6 * ReelStrips!$H6</f>
        <v/>
      </c>
      <c r="C2">
        <f>B2/8000</f>
        <v/>
      </c>
      <c r="D2">
        <f>'Paytable'!B1</f>
        <v/>
      </c>
      <c r="E2">
        <f>C2*D2</f>
        <v/>
      </c>
    </row>
    <row r="3">
      <c r="A3" t="inlineStr">
        <is>
          <t>BBB with Wild</t>
        </is>
      </c>
      <c r="B3">
        <f>(ReelStrips!$F5 + ReelStrips!$F6) * (ReelStrips!$G5 + ReelStrips!$G6)  * (ReelStrips!$H5 + ReelStrips!$H6) - 1</f>
        <v/>
      </c>
      <c r="C3">
        <f>B3/8000</f>
        <v/>
      </c>
      <c r="D3">
        <f>'Paytable'!B2</f>
        <v/>
      </c>
      <c r="E3">
        <f>C3*D3</f>
        <v/>
      </c>
    </row>
    <row r="4">
      <c r="A4" t="inlineStr">
        <is>
          <t>OOO with Wild</t>
        </is>
      </c>
      <c r="B4">
        <f>(ReelStrips!$F4 + ReelStrips!$F6) * (ReelStrips!$G4 + ReelStrips!$G6)  * (ReelStrips!$H4 + ReelStrips!$H6) - 1</f>
        <v/>
      </c>
      <c r="C4">
        <f>B4/8000</f>
        <v/>
      </c>
      <c r="D4">
        <f>'Paytable'!B3</f>
        <v/>
      </c>
      <c r="E4">
        <f>C4*D4</f>
        <v/>
      </c>
    </row>
    <row r="5">
      <c r="A5" t="inlineStr">
        <is>
          <t>LLL with Wild</t>
        </is>
      </c>
      <c r="B5">
        <f>(ReelStrips!$F3 + ReelStrips!$F6) * (ReelStrips!$G3 + ReelStrips!$G6)  * (ReelStrips!$H3 + ReelStrips!$H6) - 1</f>
        <v/>
      </c>
      <c r="C5">
        <f>B5/8000</f>
        <v/>
      </c>
      <c r="D5">
        <f>'Paytable'!B4</f>
        <v/>
      </c>
      <c r="E5">
        <f>C5*D5</f>
        <v/>
      </c>
    </row>
    <row r="6">
      <c r="A6" t="inlineStr">
        <is>
          <t>CCC with Wild</t>
        </is>
      </c>
      <c r="B6">
        <f>(ReelStrips!$F2 + ReelStrips!$F6) * (ReelStrips!$G2 + ReelStrips!$G6)  * (ReelStrips!$H2 + ReelStrips!$H6) - 1</f>
        <v/>
      </c>
      <c r="C6">
        <f>B6/8000</f>
        <v/>
      </c>
      <c r="D6">
        <f>'Paytable'!B5</f>
        <v/>
      </c>
      <c r="E6">
        <f>C6*D6</f>
        <v/>
      </c>
    </row>
    <row r="7">
      <c r="A7" t="inlineStr">
        <is>
          <t>Exactly 2 Wilds</t>
        </is>
      </c>
      <c r="B7">
        <f>(ReelStrips!$F6*ReelStrips!$G6*ReelStrips!$H7)+(ReelStrips!$F6*ReelStrips!$G7*ReelStrips!$H6)+(ReelStrips!$F7*ReelStrips!$G6*ReelStrips!$H6)</f>
        <v/>
      </c>
      <c r="C7">
        <f>B7/8000</f>
        <v/>
      </c>
      <c r="D7">
        <f>'Paytable'!B6</f>
        <v/>
      </c>
      <c r="E7">
        <f>C7*D7</f>
        <v/>
      </c>
    </row>
    <row r="8">
      <c r="A8" t="inlineStr">
        <is>
          <t>Exactly 1 Wild</t>
        </is>
      </c>
      <c r="B8" t="n">
        <v>883</v>
      </c>
      <c r="C8">
        <f>B8/8000</f>
        <v/>
      </c>
      <c r="D8">
        <f>'Paytable'!B7</f>
        <v/>
      </c>
      <c r="E8">
        <f>C8*D8</f>
        <v/>
      </c>
    </row>
    <row r="9">
      <c r="A9" t="inlineStr">
        <is>
          <t>CC any</t>
        </is>
      </c>
      <c r="B9" t="n">
        <v>384</v>
      </c>
      <c r="C9">
        <f>B9/8000</f>
        <v/>
      </c>
      <c r="D9">
        <f>'Paytable'!B8</f>
        <v/>
      </c>
      <c r="E9">
        <f>C9*D9</f>
        <v/>
      </c>
    </row>
    <row r="10">
      <c r="D10" s="4" t="inlineStr">
        <is>
          <t>Theoretical RTP</t>
        </is>
      </c>
      <c r="E10" s="4">
        <f>SUM(E2:E9)</f>
        <v/>
      </c>
    </row>
    <row r="12">
      <c r="A12" t="inlineStr">
        <is>
          <t>Note: Ways for 'Exactly 1 Wild' and 'CC any' involve multi-case exclusion logic</t>
        </is>
      </c>
    </row>
    <row r="13">
      <c r="A13" t="inlineStr">
        <is>
          <t>that is impractical as a single Excel formula; values cross-validated via full</t>
        </is>
      </c>
    </row>
    <row r="14">
      <c r="A14" t="inlineStr">
        <is>
          <t>enumeration in src/enumerate_rtp.py (category breakdown of all 8,000 outcomes).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9" sqref="B9"/>
    </sheetView>
  </sheetViews>
  <sheetFormatPr baseColWidth="8" defaultRowHeight="14.4"/>
  <cols>
    <col width="17.77734375" customWidth="1" min="1" max="1"/>
    <col width="18.21875" customWidth="1" min="2" max="2"/>
  </cols>
  <sheetData>
    <row r="1">
      <c r="A1" t="inlineStr">
        <is>
          <t>WWW</t>
        </is>
      </c>
      <c r="B1" t="n">
        <v>80</v>
      </c>
    </row>
    <row r="2">
      <c r="A2" t="inlineStr">
        <is>
          <t>BBB (Wild OK)</t>
        </is>
      </c>
      <c r="B2" t="n">
        <v>40</v>
      </c>
    </row>
    <row r="3">
      <c r="A3" t="inlineStr">
        <is>
          <t>OOO (Wild OK)</t>
        </is>
      </c>
      <c r="B3" t="n">
        <v>16</v>
      </c>
    </row>
    <row r="4">
      <c r="A4" t="inlineStr">
        <is>
          <t>LLL (Wild OK)</t>
        </is>
      </c>
      <c r="B4" t="n">
        <v>8</v>
      </c>
    </row>
    <row r="5">
      <c r="A5" t="inlineStr">
        <is>
          <t>CCC (Wild OK)</t>
        </is>
      </c>
      <c r="B5" t="n">
        <v>4</v>
      </c>
    </row>
    <row r="6">
      <c r="A6" t="inlineStr">
        <is>
          <t>Exactly 2 Wilds</t>
        </is>
      </c>
      <c r="B6" t="n">
        <v>10</v>
      </c>
    </row>
    <row r="7">
      <c r="A7" t="inlineStr">
        <is>
          <t>Exactly 1 Wild</t>
        </is>
      </c>
      <c r="B7" t="n">
        <v>1</v>
      </c>
    </row>
    <row r="8">
      <c r="A8" t="inlineStr">
        <is>
          <t>CC any</t>
        </is>
      </c>
      <c r="B8" t="n">
        <v>1</v>
      </c>
    </row>
    <row r="9">
      <c r="A9" t="inlineStr">
        <is>
          <t>Other</t>
        </is>
      </c>
      <c r="B9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B29" sqref="B29"/>
    </sheetView>
  </sheetViews>
  <sheetFormatPr baseColWidth="8" defaultRowHeight="14.4"/>
  <cols>
    <col width="35.77734375" customWidth="1" min="1" max="1"/>
    <col width="55.6640625" customWidth="1" min="2" max="2"/>
  </cols>
  <sheetData>
    <row r="1">
      <c r="A1" t="inlineStr">
        <is>
          <t>Game name</t>
        </is>
      </c>
      <c r="B1" t="inlineStr">
        <is>
          <t>Fruit Master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Type</t>
        </is>
      </c>
      <c r="B3" t="inlineStr">
        <is>
          <t>3 - reel, 1 - line</t>
        </is>
      </c>
    </row>
    <row r="4">
      <c r="A4" t="inlineStr">
        <is>
          <t>Bet</t>
        </is>
      </c>
      <c r="B4" t="n">
        <v>1</v>
      </c>
    </row>
    <row r="5">
      <c r="A5" t="inlineStr">
        <is>
          <t>Positions per reel</t>
        </is>
      </c>
      <c r="B5" t="n">
        <v>20</v>
      </c>
    </row>
    <row r="6">
      <c r="A6" t="inlineStr">
        <is>
          <t>Total outcomes</t>
        </is>
      </c>
      <c r="B6" t="n">
        <v>8000</v>
      </c>
    </row>
    <row r="7">
      <c r="A7" t="inlineStr">
        <is>
          <t>Max win</t>
        </is>
      </c>
      <c r="B7" t="n">
        <v>80</v>
      </c>
    </row>
    <row r="8">
      <c r="A8" t="inlineStr">
        <is>
          <t>Date</t>
        </is>
      </c>
      <c r="B8" s="2" t="n">
        <v>46239</v>
      </c>
    </row>
    <row r="9">
      <c r="A9" t="inlineStr">
        <is>
          <t>Theoretical results</t>
        </is>
      </c>
      <c r="B9" s="1" t="n"/>
    </row>
    <row r="10">
      <c r="A10" t="inlineStr">
        <is>
          <t>RTP</t>
        </is>
      </c>
      <c r="B10" t="n">
        <v>0.961125</v>
      </c>
    </row>
    <row r="11">
      <c r="A11" t="inlineStr">
        <is>
          <t>RTP %</t>
        </is>
      </c>
      <c r="B11" s="1" t="n">
        <v>0.961125</v>
      </c>
    </row>
    <row r="12">
      <c r="A12" t="inlineStr">
        <is>
          <t>House edge %</t>
        </is>
      </c>
      <c r="B12" s="1">
        <f>100% - B11</f>
        <v/>
      </c>
    </row>
    <row r="13">
      <c r="A13" t="inlineStr">
        <is>
          <t>Hit frequency</t>
        </is>
      </c>
      <c r="B13" t="n">
        <v>0.226125</v>
      </c>
    </row>
    <row r="14">
      <c r="A14" t="inlineStr">
        <is>
          <t>Hit frequency %</t>
        </is>
      </c>
      <c r="B14" s="1" t="n">
        <v>0.226125</v>
      </c>
    </row>
    <row r="15">
      <c r="A15" t="inlineStr">
        <is>
          <t>Method</t>
        </is>
      </c>
      <c r="B15" t="inlineStr">
        <is>
          <t>Full eunmeration of 8000 outcomes</t>
        </is>
      </c>
    </row>
    <row r="16">
      <c r="A16" s="3" t="inlineStr">
        <is>
          <t>Simulation results</t>
        </is>
      </c>
    </row>
    <row r="17">
      <c r="A17" t="inlineStr">
        <is>
          <t>RTP</t>
        </is>
      </c>
      <c r="B17" t="n">
        <v>0.966397</v>
      </c>
    </row>
    <row r="18">
      <c r="A18" t="inlineStr">
        <is>
          <t>RTP %</t>
        </is>
      </c>
      <c r="B18" s="1" t="n">
        <v>0.966397</v>
      </c>
    </row>
    <row r="19">
      <c r="A19" t="inlineStr">
        <is>
          <t>Difference (pp)</t>
        </is>
      </c>
      <c r="B19" t="n">
        <v>0.5272</v>
      </c>
    </row>
    <row r="20">
      <c r="A20" t="inlineStr">
        <is>
          <t>Volatility (std)</t>
        </is>
      </c>
      <c r="B20" t="n">
        <v>3.82237</v>
      </c>
    </row>
    <row r="21">
      <c r="A21" t="inlineStr">
        <is>
          <t>Hit frequency (sim)</t>
        </is>
      </c>
      <c r="B21" t="n">
        <v>0.226385</v>
      </c>
    </row>
    <row r="22">
      <c r="A22" t="inlineStr">
        <is>
          <t>Hit frequency % (sim)</t>
        </is>
      </c>
      <c r="B22" s="1" t="n">
        <v>0.226385</v>
      </c>
    </row>
    <row r="23">
      <c r="A23" t="inlineStr">
        <is>
          <t>Max observed win</t>
        </is>
      </c>
      <c r="B23" t="n">
        <v>80</v>
      </c>
    </row>
    <row r="24">
      <c r="A24" t="inlineStr">
        <is>
          <t>Spins</t>
        </is>
      </c>
      <c r="B24" t="n">
        <v>1000000</v>
      </c>
    </row>
    <row r="25">
      <c r="A25" t="inlineStr">
        <is>
          <t>Seed</t>
        </is>
      </c>
      <c r="B25" t="n">
        <v>42</v>
      </c>
    </row>
    <row r="26">
      <c r="A26" s="3" t="inlineStr">
        <is>
          <t>Status</t>
        </is>
      </c>
    </row>
    <row r="27">
      <c r="A27" t="inlineStr">
        <is>
          <t>Status</t>
        </is>
      </c>
      <c r="B27" t="inlineStr">
        <is>
          <t>Complete – balanced &amp; validated</t>
        </is>
      </c>
    </row>
    <row r="28">
      <c r="A28" t="inlineStr">
        <is>
          <t>Balancing note</t>
        </is>
      </c>
      <c r="B28" t="inlineStr">
        <is>
          <t>Initial 132.3% → final 96.11%</t>
        </is>
      </c>
    </row>
    <row r="29">
      <c r="A29" t="inlineStr">
        <is>
          <t>Files</t>
        </is>
      </c>
      <c r="B29" t="inlineStr">
        <is>
          <t>enumerate_rtp.py, simulation.py, game_math_document.md</t>
        </is>
      </c>
    </row>
  </sheetData>
  <mergeCells count="2">
    <mergeCell ref="A26:B26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Dimitrije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2026-08-24T11:16:26Z</dcterms:modified>
  <cp:lastModifiedBy>Dimitrije</cp:lastModifiedBy>
</cp:coreProperties>
</file>