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mitrije\Desktop\Fruit Master\excel\"/>
    </mc:Choice>
  </mc:AlternateContent>
  <xr:revisionPtr revIDLastSave="0" documentId="13_ncr:1_{37C9A3FB-D69E-464A-A697-F953B58EEC48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eelStrips" sheetId="1" r:id="rId1"/>
    <sheet name="Combinations" sheetId="2" r:id="rId2"/>
    <sheet name="Paytable" sheetId="4" r:id="rId3"/>
    <sheet name="Summary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B6" i="2"/>
  <c r="C6" i="2" s="1"/>
  <c r="E6" i="2" s="1"/>
  <c r="B5" i="2"/>
  <c r="C5" i="2" s="1"/>
  <c r="E5" i="2" s="1"/>
  <c r="B4" i="2"/>
  <c r="C4" i="2" s="1"/>
  <c r="E4" i="2" s="1"/>
  <c r="B3" i="2"/>
  <c r="C3" i="2" s="1"/>
  <c r="E3" i="2" s="1"/>
  <c r="E2" i="2"/>
  <c r="C2" i="2"/>
  <c r="B2" i="2"/>
  <c r="H8" i="1"/>
  <c r="G8" i="1"/>
  <c r="F8" i="1"/>
  <c r="H7" i="1"/>
  <c r="H6" i="1"/>
  <c r="H5" i="1"/>
  <c r="H4" i="1"/>
  <c r="H3" i="1"/>
  <c r="H2" i="1"/>
  <c r="G7" i="1"/>
  <c r="G6" i="1"/>
  <c r="G5" i="1"/>
  <c r="G4" i="1"/>
  <c r="G3" i="1"/>
  <c r="G2" i="1"/>
  <c r="F7" i="1"/>
  <c r="F6" i="1"/>
  <c r="F5" i="1"/>
  <c r="F4" i="1"/>
  <c r="F3" i="1"/>
  <c r="F2" i="1"/>
  <c r="E7" i="2" l="1"/>
</calcChain>
</file>

<file path=xl/sharedStrings.xml><?xml version="1.0" encoding="utf-8"?>
<sst xmlns="http://schemas.openxmlformats.org/spreadsheetml/2006/main" count="129" uniqueCount="65">
  <si>
    <t>Reel1</t>
  </si>
  <si>
    <t>Reel2</t>
  </si>
  <si>
    <t>Reel3</t>
  </si>
  <si>
    <t>C</t>
  </si>
  <si>
    <t>L</t>
  </si>
  <si>
    <t>O</t>
  </si>
  <si>
    <t>B</t>
  </si>
  <si>
    <t>W</t>
  </si>
  <si>
    <t>-</t>
  </si>
  <si>
    <t>Simbol</t>
  </si>
  <si>
    <t>R1</t>
  </si>
  <si>
    <t>R2</t>
  </si>
  <si>
    <t>R3</t>
  </si>
  <si>
    <t>Zbir</t>
  </si>
  <si>
    <t>Combinations</t>
  </si>
  <si>
    <t>Ways</t>
  </si>
  <si>
    <t>Probability</t>
  </si>
  <si>
    <t>Payout</t>
  </si>
  <si>
    <t>Contribution</t>
  </si>
  <si>
    <t>WWW</t>
  </si>
  <si>
    <t>Partial RTP</t>
  </si>
  <si>
    <t>Game name</t>
  </si>
  <si>
    <t>Fruit Master</t>
  </si>
  <si>
    <t>Positions per reel</t>
  </si>
  <si>
    <t>Total outcomes</t>
  </si>
  <si>
    <t>Bet</t>
  </si>
  <si>
    <t>Max win</t>
  </si>
  <si>
    <t>Status</t>
  </si>
  <si>
    <t>Date</t>
  </si>
  <si>
    <t>BBB with Wild</t>
  </si>
  <si>
    <t>Hit frequency</t>
  </si>
  <si>
    <t>Method</t>
  </si>
  <si>
    <t>BBB (Wild OK)</t>
  </si>
  <si>
    <t>OOO with Wild</t>
  </si>
  <si>
    <t>LLL with Wild</t>
  </si>
  <si>
    <t>CCC with Wild</t>
  </si>
  <si>
    <t>OOO (Wild OK)</t>
  </si>
  <si>
    <t>LLL (Wild OK)</t>
  </si>
  <si>
    <t>CCC (Wild OK)</t>
  </si>
  <si>
    <t>Exactly 2 Wilds</t>
  </si>
  <si>
    <t>Exactly 1 Wild</t>
  </si>
  <si>
    <t>CC any</t>
  </si>
  <si>
    <t>Other</t>
  </si>
  <si>
    <t>Volatility (std)</t>
  </si>
  <si>
    <t>Version</t>
  </si>
  <si>
    <t>Type</t>
  </si>
  <si>
    <t>3 - reel, 1 - line</t>
  </si>
  <si>
    <t>Theoretical results</t>
  </si>
  <si>
    <t>RTP</t>
  </si>
  <si>
    <t>RTP %</t>
  </si>
  <si>
    <t>House edge %</t>
  </si>
  <si>
    <t>Hit frequency %</t>
  </si>
  <si>
    <t>Full eunmeration of 8000 outcomes</t>
  </si>
  <si>
    <t>Simulation results</t>
  </si>
  <si>
    <t>Difference (pp)</t>
  </si>
  <si>
    <t>Hit frequency (sim)</t>
  </si>
  <si>
    <t>Hit frequency % (sim)</t>
  </si>
  <si>
    <t>Max observed win</t>
  </si>
  <si>
    <t>Spins</t>
  </si>
  <si>
    <t>Seed</t>
  </si>
  <si>
    <t>Complete – balanced &amp; validated</t>
  </si>
  <si>
    <t>Balancing note</t>
  </si>
  <si>
    <t>Initial 132.3% → final 96.11%</t>
  </si>
  <si>
    <t>Files</t>
  </si>
  <si>
    <t>enumerate_rtp.py, simulation.py, game_math_document.md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</si>
</sst>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G14" sqref="G1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 t="s">
        <v>3</v>
      </c>
      <c r="B2" t="s">
        <v>3</v>
      </c>
      <c r="C2" t="s">
        <v>3</v>
      </c>
      <c r="E2" t="s">
        <v>3</v>
      </c>
      <c r="F2">
        <f>COUNTIF(A:A,"C")</f>
        <v>6</v>
      </c>
      <c r="G2">
        <f>COUNTIF(B:B,"C")</f>
        <v>4</v>
      </c>
      <c r="H2">
        <f>COUNTIF(C:C,"C")</f>
        <v>3</v>
      </c>
    </row>
    <row r="3" spans="1:8" x14ac:dyDescent="0.3">
      <c r="A3" t="s">
        <v>3</v>
      </c>
      <c r="B3" t="s">
        <v>3</v>
      </c>
      <c r="C3" t="s">
        <v>3</v>
      </c>
      <c r="E3" t="s">
        <v>4</v>
      </c>
      <c r="F3">
        <f>COUNTIF(A:A,"L")</f>
        <v>5</v>
      </c>
      <c r="G3">
        <f>COUNTIF(B:B,"L")</f>
        <v>5</v>
      </c>
      <c r="H3">
        <f>COUNTIF(C:C,"L")</f>
        <v>4</v>
      </c>
    </row>
    <row r="4" spans="1:8" x14ac:dyDescent="0.3">
      <c r="A4" t="s">
        <v>3</v>
      </c>
      <c r="B4" t="s">
        <v>3</v>
      </c>
      <c r="C4" t="s">
        <v>4</v>
      </c>
      <c r="E4" t="s">
        <v>5</v>
      </c>
      <c r="F4">
        <f>COUNTIF(A:A,"O")</f>
        <v>4</v>
      </c>
      <c r="G4">
        <f>COUNTIF(B:B,"O")</f>
        <v>5</v>
      </c>
      <c r="H4">
        <f>COUNTIF(C:C,"O")</f>
        <v>5</v>
      </c>
    </row>
    <row r="5" spans="1:8" x14ac:dyDescent="0.3">
      <c r="A5" t="s">
        <v>3</v>
      </c>
      <c r="B5" t="s">
        <v>4</v>
      </c>
      <c r="C5" t="s">
        <v>4</v>
      </c>
      <c r="E5" t="s">
        <v>6</v>
      </c>
      <c r="F5">
        <f>COUNTIF(A:A,"B")</f>
        <v>2</v>
      </c>
      <c r="G5">
        <f>COUNTIF(B:B,"B")</f>
        <v>2</v>
      </c>
      <c r="H5">
        <f>COUNTIF(C:C,"B")</f>
        <v>3</v>
      </c>
    </row>
    <row r="6" spans="1:8" x14ac:dyDescent="0.3">
      <c r="A6" t="s">
        <v>4</v>
      </c>
      <c r="B6" t="s">
        <v>4</v>
      </c>
      <c r="C6" t="s">
        <v>4</v>
      </c>
      <c r="E6" t="s">
        <v>7</v>
      </c>
      <c r="F6">
        <f>COUNTIF(A:A,"W")</f>
        <v>1</v>
      </c>
      <c r="G6">
        <f>COUNTIF(B:B,"W")</f>
        <v>1</v>
      </c>
      <c r="H6">
        <f>COUNTIF(C:C,"W")</f>
        <v>1</v>
      </c>
    </row>
    <row r="7" spans="1:8" x14ac:dyDescent="0.3">
      <c r="A7" t="s">
        <v>4</v>
      </c>
      <c r="B7" t="s">
        <v>4</v>
      </c>
      <c r="C7" t="s">
        <v>5</v>
      </c>
      <c r="E7" t="s">
        <v>8</v>
      </c>
      <c r="F7">
        <f>COUNTIF(A:A,"-")</f>
        <v>2</v>
      </c>
      <c r="G7">
        <f>COUNTIF(B:B,"-")</f>
        <v>3</v>
      </c>
      <c r="H7">
        <f>COUNTIF(C:C,"-")</f>
        <v>4</v>
      </c>
    </row>
    <row r="8" spans="1:8" x14ac:dyDescent="0.3">
      <c r="A8" t="s">
        <v>4</v>
      </c>
      <c r="B8" t="s">
        <v>5</v>
      </c>
      <c r="C8" t="s">
        <v>5</v>
      </c>
      <c r="E8" t="s">
        <v>13</v>
      </c>
      <c r="F8">
        <f>SUM(F2:F7)</f>
        <v>20</v>
      </c>
      <c r="G8">
        <f>SUM(G2:G7)</f>
        <v>20</v>
      </c>
      <c r="H8">
        <f>SUM(H2:H7)</f>
        <v>20</v>
      </c>
    </row>
    <row r="9" spans="1:8" x14ac:dyDescent="0.3">
      <c r="A9" t="s">
        <v>5</v>
      </c>
      <c r="B9" t="s">
        <v>5</v>
      </c>
      <c r="C9" t="s">
        <v>5</v>
      </c>
    </row>
    <row r="10" spans="1:8" x14ac:dyDescent="0.3">
      <c r="A10" t="s">
        <v>5</v>
      </c>
      <c r="B10" t="s">
        <v>5</v>
      </c>
      <c r="C10" t="s">
        <v>6</v>
      </c>
    </row>
    <row r="11" spans="1:8" x14ac:dyDescent="0.3">
      <c r="A11" t="s">
        <v>6</v>
      </c>
      <c r="B11" t="s">
        <v>6</v>
      </c>
      <c r="C11" t="s">
        <v>6</v>
      </c>
    </row>
    <row r="12" spans="1:8" x14ac:dyDescent="0.3">
      <c r="A12" t="s">
        <v>3</v>
      </c>
      <c r="B12" t="s">
        <v>3</v>
      </c>
      <c r="C12" t="s">
        <v>3</v>
      </c>
    </row>
    <row r="13" spans="1:8" x14ac:dyDescent="0.3">
      <c r="A13" t="s">
        <v>3</v>
      </c>
      <c r="B13" t="s">
        <v>4</v>
      </c>
      <c r="C13" t="s">
        <v>4</v>
      </c>
    </row>
    <row r="14" spans="1:8" x14ac:dyDescent="0.3">
      <c r="A14" t="s">
        <v>4</v>
      </c>
      <c r="B14" t="s">
        <v>4</v>
      </c>
      <c r="C14" t="s">
        <v>5</v>
      </c>
    </row>
    <row r="15" spans="1:8" x14ac:dyDescent="0.3">
      <c r="A15" t="s">
        <v>4</v>
      </c>
      <c r="B15" t="s">
        <v>5</v>
      </c>
      <c r="C15" t="s">
        <v>5</v>
      </c>
    </row>
    <row r="16" spans="1:8" x14ac:dyDescent="0.3">
      <c r="A16" t="s">
        <v>5</v>
      </c>
      <c r="B16" t="s">
        <v>5</v>
      </c>
      <c r="C16" t="s">
        <v>6</v>
      </c>
    </row>
    <row r="17" spans="1:3" x14ac:dyDescent="0.3">
      <c r="A17" t="s">
        <v>5</v>
      </c>
      <c r="B17" t="s">
        <v>6</v>
      </c>
      <c r="C17" t="s">
        <v>7</v>
      </c>
    </row>
    <row r="18" spans="1:3" x14ac:dyDescent="0.3">
      <c r="A18" t="s">
        <v>6</v>
      </c>
      <c r="B18" t="s">
        <v>7</v>
      </c>
      <c r="C18" t="s">
        <v>8</v>
      </c>
    </row>
    <row r="19" spans="1:3" x14ac:dyDescent="0.3">
      <c r="A19" t="s">
        <v>7</v>
      </c>
      <c r="B19" t="s">
        <v>8</v>
      </c>
      <c r="C19" t="s">
        <v>8</v>
      </c>
    </row>
    <row r="20" spans="1:3" x14ac:dyDescent="0.3">
      <c r="A20" t="s">
        <v>8</v>
      </c>
      <c r="B20" t="s">
        <v>8</v>
      </c>
      <c r="C20" t="s">
        <v>8</v>
      </c>
    </row>
    <row r="21" spans="1:3" x14ac:dyDescent="0.3">
      <c r="A21" t="s">
        <v>8</v>
      </c>
      <c r="B21" t="s">
        <v>8</v>
      </c>
      <c r="C2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3ED6-7180-48F1-BE57-AD6C4D4836B0}">
  <dimension ref="A1:E7"/>
  <sheetViews>
    <sheetView workbookViewId="0">
      <selection activeCell="A6" sqref="A6"/>
    </sheetView>
  </sheetViews>
  <sheetFormatPr defaultRowHeight="14.4" x14ac:dyDescent="0.3"/>
  <cols>
    <col min="1" max="1" width="15.109375" customWidth="1"/>
    <col min="2" max="2" width="16.6640625" customWidth="1"/>
    <col min="3" max="3" width="17.33203125" customWidth="1"/>
    <col min="4" max="4" width="15.77734375" customWidth="1"/>
    <col min="5" max="5" width="16" customWidth="1"/>
  </cols>
  <sheetData>
    <row r="1" spans="1: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">
      <c r="A2" t="s">
        <v>19</v>
      </c>
      <c r="B2">
        <f>ReelStrips!$F6 * ReelStrips!$G6 * ReelStrips!$H6</f>
        <v>1</v>
      </c>
      <c r="C2">
        <f>B2/8000</f>
        <v>1.25E-4</v>
      </c>
      <c r="D2">
        <v>100</v>
      </c>
      <c r="E2">
        <f>C2*D2</f>
        <v>1.2500000000000001E-2</v>
      </c>
    </row>
    <row r="3" spans="1:5" x14ac:dyDescent="0.3">
      <c r="A3" t="s">
        <v>29</v>
      </c>
      <c r="B3">
        <f>(ReelStrips!$F5 + ReelStrips!$F6) * (ReelStrips!$G5 + ReelStrips!$G6)  * (ReelStrips!$H5 + ReelStrips!$H6) - 1</f>
        <v>35</v>
      </c>
      <c r="C3">
        <f>B3/8000</f>
        <v>4.3750000000000004E-3</v>
      </c>
      <c r="D3">
        <v>50</v>
      </c>
      <c r="E3">
        <f>C3*D3</f>
        <v>0.21875000000000003</v>
      </c>
    </row>
    <row r="4" spans="1:5" x14ac:dyDescent="0.3">
      <c r="A4" t="s">
        <v>33</v>
      </c>
      <c r="B4">
        <f>(ReelStrips!$F4 + ReelStrips!$F6) * (ReelStrips!$G4 + ReelStrips!$G6)  * (ReelStrips!$H4 + ReelStrips!$H6) - 1</f>
        <v>179</v>
      </c>
      <c r="C4">
        <f>B4/8000</f>
        <v>2.2374999999999999E-2</v>
      </c>
      <c r="D4">
        <v>20</v>
      </c>
      <c r="E4">
        <f>C4*D4</f>
        <v>0.44750000000000001</v>
      </c>
    </row>
    <row r="5" spans="1:5" x14ac:dyDescent="0.3">
      <c r="A5" t="s">
        <v>34</v>
      </c>
      <c r="B5">
        <f>(ReelStrips!$F3 + ReelStrips!$F6) * (ReelStrips!$G3 + ReelStrips!$G6)  * (ReelStrips!$H3 + ReelStrips!$H6) - 1</f>
        <v>179</v>
      </c>
      <c r="C5">
        <f>B5/8000</f>
        <v>2.2374999999999999E-2</v>
      </c>
      <c r="D5">
        <v>10</v>
      </c>
      <c r="E5">
        <f>C5*D5</f>
        <v>0.22375</v>
      </c>
    </row>
    <row r="6" spans="1:5" x14ac:dyDescent="0.3">
      <c r="A6" t="s">
        <v>35</v>
      </c>
      <c r="B6">
        <f>(ReelStrips!$F2 + ReelStrips!$F6) * (ReelStrips!$G2 + ReelStrips!$G6)  * (ReelStrips!$H2 + ReelStrips!$H6) - 1</f>
        <v>139</v>
      </c>
      <c r="C6">
        <f>B6/8000</f>
        <v>1.7375000000000002E-2</v>
      </c>
      <c r="D6">
        <v>5</v>
      </c>
      <c r="E6">
        <f>C6*D6</f>
        <v>8.6875000000000008E-2</v>
      </c>
    </row>
    <row r="7" spans="1:5" x14ac:dyDescent="0.3">
      <c r="D7" t="s">
        <v>20</v>
      </c>
      <c r="E7">
        <f>SUM(E2:E6)</f>
        <v>0.98937500000000012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089E-6B36-4ABB-9F55-CC30483D4CB8}">
  <dimension ref="A1:B9"/>
  <sheetViews>
    <sheetView workbookViewId="0">
      <selection activeCell="B9" sqref="B9"/>
    </sheetView>
  </sheetViews>
  <sheetFormatPr defaultRowHeight="14.4" x14ac:dyDescent="0.3"/>
  <cols>
    <col min="1" max="1" width="17.77734375" customWidth="1"/>
    <col min="2" max="2" width="18.21875" customWidth="1"/>
  </cols>
  <sheetData>
    <row r="1" spans="1:2" x14ac:dyDescent="0.3">
      <c r="A1" t="s">
        <v>19</v>
      </c>
      <c r="B1">
        <v>80</v>
      </c>
    </row>
    <row r="2" spans="1:2" x14ac:dyDescent="0.3">
      <c r="A2" t="s">
        <v>32</v>
      </c>
      <c r="B2">
        <v>40</v>
      </c>
    </row>
    <row r="3" spans="1:2" x14ac:dyDescent="0.3">
      <c r="A3" t="s">
        <v>36</v>
      </c>
      <c r="B3">
        <v>16</v>
      </c>
    </row>
    <row r="4" spans="1:2" x14ac:dyDescent="0.3">
      <c r="A4" t="s">
        <v>37</v>
      </c>
      <c r="B4">
        <v>8</v>
      </c>
    </row>
    <row r="5" spans="1:2" x14ac:dyDescent="0.3">
      <c r="A5" t="s">
        <v>38</v>
      </c>
      <c r="B5">
        <v>4</v>
      </c>
    </row>
    <row r="6" spans="1:2" x14ac:dyDescent="0.3">
      <c r="A6" t="s">
        <v>39</v>
      </c>
      <c r="B6">
        <v>10</v>
      </c>
    </row>
    <row r="7" spans="1:2" x14ac:dyDescent="0.3">
      <c r="A7" t="s">
        <v>40</v>
      </c>
      <c r="B7">
        <v>1</v>
      </c>
    </row>
    <row r="8" spans="1:2" x14ac:dyDescent="0.3">
      <c r="A8" t="s">
        <v>41</v>
      </c>
      <c r="B8">
        <v>1</v>
      </c>
    </row>
    <row r="9" spans="1:2" x14ac:dyDescent="0.3">
      <c r="A9" t="s">
        <v>42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69F-B416-4C21-A13C-D59DEC506682}">
  <dimension ref="A1:B29"/>
  <sheetViews>
    <sheetView tabSelected="1" workbookViewId="0">
      <selection activeCell="B29" sqref="B29"/>
    </sheetView>
  </sheetViews>
  <sheetFormatPr defaultRowHeight="14.4" x14ac:dyDescent="0.3"/>
  <cols>
    <col min="1" max="1" width="35.77734375" customWidth="1"/>
    <col min="2" max="2" width="55.6640625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44</v>
      </c>
      <c r="B2">
        <v>1</v>
      </c>
    </row>
    <row r="3" spans="1:2" x14ac:dyDescent="0.3">
      <c r="A3" t="s">
        <v>45</v>
      </c>
      <c r="B3" t="s">
        <v>46</v>
      </c>
    </row>
    <row r="4" spans="1:2" x14ac:dyDescent="0.3">
      <c r="A4" t="s">
        <v>25</v>
      </c>
      <c r="B4">
        <v>1</v>
      </c>
    </row>
    <row r="5" spans="1:2" x14ac:dyDescent="0.3">
      <c r="A5" t="s">
        <v>23</v>
      </c>
      <c r="B5">
        <v>20</v>
      </c>
    </row>
    <row r="6" spans="1:2" x14ac:dyDescent="0.3">
      <c r="A6" t="s">
        <v>24</v>
      </c>
      <c r="B6">
        <v>8000</v>
      </c>
    </row>
    <row r="7" spans="1:2" x14ac:dyDescent="0.3">
      <c r="A7" t="s">
        <v>26</v>
      </c>
      <c r="B7">
        <v>80</v>
      </c>
    </row>
    <row r="8" spans="1:2" x14ac:dyDescent="0.3">
      <c r="A8" t="s">
        <v>28</v>
      </c>
      <c r="B8" s="2">
        <v>46239</v>
      </c>
    </row>
    <row r="9" spans="1:2" x14ac:dyDescent="0.3">
      <c r="A9" t="s">
        <v>47</v>
      </c>
      <c r="B9" s="1"/>
    </row>
    <row r="10" spans="1:2" x14ac:dyDescent="0.3">
      <c r="A10" t="s">
        <v>48</v>
      </c>
      <c r="B10">
        <v>0.96112500000000001</v>
      </c>
    </row>
    <row r="11" spans="1:2" x14ac:dyDescent="0.3">
      <c r="A11" t="s">
        <v>49</v>
      </c>
      <c r="B11" s="1">
        <v>0.96112500000000001</v>
      </c>
    </row>
    <row r="12" spans="1:2" x14ac:dyDescent="0.3">
      <c r="A12" t="s">
        <v>50</v>
      </c>
      <c r="B12" s="1">
        <f>100% - B11</f>
        <v>3.8874999999999993E-2</v>
      </c>
    </row>
    <row r="13" spans="1:2" x14ac:dyDescent="0.3">
      <c r="A13" t="s">
        <v>30</v>
      </c>
      <c r="B13">
        <v>0.22612499999999999</v>
      </c>
    </row>
    <row r="14" spans="1:2" x14ac:dyDescent="0.3">
      <c r="A14" t="s">
        <v>51</v>
      </c>
      <c r="B14" s="1">
        <v>0.22612499999999999</v>
      </c>
    </row>
    <row r="15" spans="1:2" x14ac:dyDescent="0.3">
      <c r="A15" t="s">
        <v>31</v>
      </c>
      <c r="B15" t="s">
        <v>52</v>
      </c>
    </row>
    <row r="16" spans="1:2" x14ac:dyDescent="0.3">
      <c r="A16" s="3" t="s">
        <v>53</v>
      </c>
      <c r="B16" s="3"/>
    </row>
    <row r="17" spans="1:2" x14ac:dyDescent="0.3">
      <c r="A17" t="s">
        <v>48</v>
      </c>
      <c r="B17">
        <v>0.96639699999999995</v>
      </c>
    </row>
    <row r="18" spans="1:2" x14ac:dyDescent="0.3">
      <c r="A18" t="s">
        <v>49</v>
      </c>
      <c r="B18" s="1">
        <v>0.96639699999999995</v>
      </c>
    </row>
    <row r="19" spans="1:2" x14ac:dyDescent="0.3">
      <c r="A19" t="s">
        <v>54</v>
      </c>
      <c r="B19">
        <v>0.5272</v>
      </c>
    </row>
    <row r="20" spans="1:2" x14ac:dyDescent="0.3">
      <c r="A20" t="s">
        <v>43</v>
      </c>
      <c r="B20">
        <v>3.8223699999999998</v>
      </c>
    </row>
    <row r="21" spans="1:2" x14ac:dyDescent="0.3">
      <c r="A21" t="s">
        <v>55</v>
      </c>
      <c r="B21">
        <v>0.226385</v>
      </c>
    </row>
    <row r="22" spans="1:2" x14ac:dyDescent="0.3">
      <c r="A22" t="s">
        <v>56</v>
      </c>
      <c r="B22" s="1">
        <v>0.226385</v>
      </c>
    </row>
    <row r="23" spans="1:2" x14ac:dyDescent="0.3">
      <c r="A23" t="s">
        <v>57</v>
      </c>
      <c r="B23">
        <v>80</v>
      </c>
    </row>
    <row r="24" spans="1:2" x14ac:dyDescent="0.3">
      <c r="A24" t="s">
        <v>58</v>
      </c>
      <c r="B24">
        <v>1000000</v>
      </c>
    </row>
    <row r="25" spans="1:2" x14ac:dyDescent="0.3">
      <c r="A25" t="s">
        <v>59</v>
      </c>
      <c r="B25">
        <v>42</v>
      </c>
    </row>
    <row r="26" spans="1:2" x14ac:dyDescent="0.3">
      <c r="A26" s="3" t="s">
        <v>27</v>
      </c>
      <c r="B26" s="3"/>
    </row>
    <row r="27" spans="1:2" x14ac:dyDescent="0.3">
      <c r="A27" t="s">
        <v>27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</sheetData>
  <mergeCells count="2">
    <mergeCell ref="A16:B16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ReelStrips</vt:lpstr>
      <vt:lpstr>Combinations</vt:lpstr>
      <vt:lpstr>Paytable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Dimitrije</dc:creator>
  <cp:lastModifiedBy>Dimitrije</cp:lastModifiedBy>
  <dcterms:created xsi:type="dcterms:W3CDTF">2015-06-05T18:17:20Z</dcterms:created>
  <dcterms:modified xsi:type="dcterms:W3CDTF">2026-08-05T11:16:03Z</dcterms:modified>
</cp:coreProperties>
</file>